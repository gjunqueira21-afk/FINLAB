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  <sheet name="Sensibilida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<sst xmlns="http://schemas.openxmlformats.org/spreadsheetml/2006/main" count="67" uniqueCount="67">
  <si>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WEGE3 · Modelo DCF</t>
  </si>
  <si>
    <t xml:space="preserve">Exportado do Gab's FinLab em 10/08/2026 · dados: DFP/ITR da CVM e mercado (BRAPI) · não é recomendação de investimento</t>
  </si>
  <si>
    <t xml:space="preserve">Legenda: fundo amarelo + fonte azul = edite aqui · fonte preta = fórmula, não mexa · fundo cinza = dado do painel</t>
  </si>
  <si>
    <t xml:space="preserve">DADOS DO PAINEL</t>
  </si>
  <si>
    <t xml:space="preserve">Fonte</t>
  </si>
  <si>
    <t xml:space="preserve">FCL médio 3 anos (R$ mi)</t>
  </si>
  <si>
    <t xml:space="preserve">DFC da CVM 2023–2025</t>
  </si>
  <si>
    <t xml:space="preserve">FCL último exercício (R$ mi)</t>
  </si>
  <si>
    <t xml:space="preserve">DFC da CVM 2025</t>
  </si>
  <si>
    <t xml:space="preserve">Dívida líquida (R$ mi)</t>
  </si>
  <si>
    <t xml:space="preserve">DFP 2025 (caixa líquido)</t>
  </si>
  <si>
    <t xml:space="preserve">Ações emitidas (mi)</t>
  </si>
  <si>
    <t xml:space="preserve">capital social CVM</t>
  </si>
  <si>
    <t xml:space="preserve">Preço de tela (R$)</t>
  </si>
  <si>
    <t xml:space="preserve">BRAPI · 10/08/2026</t>
  </si>
  <si>
    <t xml:space="preserve">PREMISSAS POR CENÁRIO</t>
  </si>
  <si>
    <t xml:space="preserve">Pessimista</t>
  </si>
  <si>
    <t xml:space="preserve">Mediana</t>
  </si>
  <si>
    <t xml:space="preserve">Otimista</t>
  </si>
  <si>
    <t xml:space="preserve">FCL base (R$ mi)</t>
  </si>
  <si>
    <t xml:space="preserve">padrão: média de 3 anos (B6); troque por B7 se preferir o último exercício</t>
  </si>
  <si>
    <t xml:space="preserve">Crescimento do FCL · ano 1</t>
  </si>
  <si>
    <t xml:space="preserve">Crescimento · ano 2</t>
  </si>
  <si>
    <t xml:space="preserve">Crescimento · ano 3</t>
  </si>
  <si>
    <t xml:space="preserve">Crescimento · ano 4</t>
  </si>
  <si>
    <t xml:space="preserve">Crescimento · ano 5</t>
  </si>
  <si>
    <t xml:space="preserve">Perpetuidade (g)</t>
  </si>
  <si>
    <t xml:space="preserve">dificilmente acima de inflação + PIB</t>
  </si>
  <si>
    <t xml:space="preserve">Taxa livre de risco (Rf)</t>
  </si>
  <si>
    <t xml:space="preserve">prefixado ~10 anos (ANBIMA)</t>
  </si>
  <si>
    <t xml:space="preserve">Beta</t>
  </si>
  <si>
    <t xml:space="preserve">Prêmio de risco (ERP)</t>
  </si>
  <si>
    <t xml:space="preserve">Prêmio adicional</t>
  </si>
  <si>
    <t xml:space="preserve">tamanho, governança, execução</t>
  </si>
  <si>
    <t xml:space="preserve">Spread de crédito</t>
  </si>
  <si>
    <t xml:space="preserve">Dívida / (dívida + equity)</t>
  </si>
  <si>
    <t xml:space="preserve">Alíquota efetiva</t>
  </si>
  <si>
    <t xml:space="preserve">CUSTO DE CAPITAL</t>
  </si>
  <si>
    <t xml:space="preserve">Ke — custo do equity</t>
  </si>
  <si>
    <t xml:space="preserve">Kd líquido de impostos</t>
  </si>
  <si>
    <t xml:space="preserve">WACC</t>
  </si>
  <si>
    <t xml:space="preserve">PROJEÇÃO DO FCL (R$ mi)</t>
  </si>
  <si>
    <t xml:space="preserve">FCL ano 1 (2025+1)</t>
  </si>
  <si>
    <t xml:space="preserve">FCL ano 2 (2025+2)</t>
  </si>
  <si>
    <t xml:space="preserve">FCL ano 3 (2025+3)</t>
  </si>
  <si>
    <t xml:space="preserve">FCL ano 4 (2025+4)</t>
  </si>
  <si>
    <t xml:space="preserve">FCL ano 5 (2025+5)</t>
  </si>
  <si>
    <t xml:space="preserve">DO FLUXO AO PREÇO JUSTO</t>
  </si>
  <si>
    <t xml:space="preserve">VP do ano 1</t>
  </si>
  <si>
    <t xml:space="preserve">VP do ano 2</t>
  </si>
  <si>
    <t xml:space="preserve">VP do ano 3</t>
  </si>
  <si>
    <t xml:space="preserve">VP do ano 4</t>
  </si>
  <si>
    <t xml:space="preserve">VP do ano 5</t>
  </si>
  <si>
    <t xml:space="preserve">Soma dos VP explícitos</t>
  </si>
  <si>
    <t xml:space="preserve">Valor terminal (Gordon)</t>
  </si>
  <si>
    <t xml:space="preserve">VP do valor terminal</t>
  </si>
  <si>
    <t xml:space="preserve">Enterprise value</t>
  </si>
  <si>
    <t xml:space="preserve">(−) Dívida líquida</t>
  </si>
  <si>
    <t xml:space="preserve">Equity value</t>
  </si>
  <si>
    <t xml:space="preserve">Peso da perpetuidade no EV</t>
  </si>
  <si>
    <t xml:space="preserve">PREÇO JUSTO POR AÇÃO (R$)</t>
  </si>
  <si>
    <t xml:space="preserve">Upside vs preço de tela</t>
  </si>
  <si>
    <t xml:space="preserve">→ Leve os três preços justos (linha 53) para o campo "Seu DCF · faixa da planilha" no painel da empresa.</t>
  </si>
  <si>
    <t xml:space="preserve">Sensibilidade do preço justo (R$/ação)</t>
  </si>
  <si>
    <t xml:space="preserve">Fluxos do cenário Mediana (aba DCF, coluna C) · linhas: WACC · colunas: crescimento na perpetuidade</t>
  </si>
  <si>
    <t xml:space="preserve">WACC \ g</t>
  </si>
  <si>
    <t xml:space="preserve">A célula mais próxima do seu WACC e do seu g na aba DCF é o seu caso-base.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</si>
</sst>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#,##0.00;\(#,##0.00\);\-"/>
    <numFmt numFmtId="167" formatCode="0.0%;\(0.0%\);\-"/>
    <numFmt numFmtId="168" formatCode="0.00%;\(0.00%\);\-"/>
    <numFmt numFmtId="169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8.5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395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8FB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8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6" min="6" style="0" width="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/>
      <c r="C5" s="4" t="s">
        <v>4</v>
      </c>
      <c r="D5" s="3"/>
    </row>
    <row r="6" customFormat="false" ht="15" hidden="false" customHeight="false" outlineLevel="0" collapsed="false">
      <c r="A6" s="5" t="s">
        <v>5</v>
      </c>
      <c r="B6" s="6" t="n">
        <v>4800</v>
      </c>
      <c r="C6" s="7" t="s">
        <v>6</v>
      </c>
      <c r="D6" s="7"/>
    </row>
    <row r="7" customFormat="false" ht="15" hidden="false" customHeight="false" outlineLevel="0" collapsed="false">
      <c r="A7" s="5" t="s">
        <v>7</v>
      </c>
      <c r="B7" s="6" t="n">
        <v>5600</v>
      </c>
      <c r="C7" s="7" t="s">
        <v>8</v>
      </c>
      <c r="D7" s="7"/>
    </row>
    <row r="8" customFormat="false" ht="15" hidden="false" customHeight="false" outlineLevel="0" collapsed="false">
      <c r="A8" s="5" t="s">
        <v>9</v>
      </c>
      <c r="B8" s="6" t="n">
        <v>-3100</v>
      </c>
      <c r="C8" s="7" t="s">
        <v>10</v>
      </c>
      <c r="D8" s="7"/>
    </row>
    <row r="9" customFormat="false" ht="15" hidden="false" customHeight="false" outlineLevel="0" collapsed="false">
      <c r="A9" s="5" t="s">
        <v>11</v>
      </c>
      <c r="B9" s="6" t="n">
        <v>4196</v>
      </c>
      <c r="C9" s="7" t="s">
        <v>12</v>
      </c>
      <c r="D9" s="7"/>
    </row>
    <row r="10" customFormat="false" ht="15" hidden="false" customHeight="false" outlineLevel="0" collapsed="false">
      <c r="A10" s="5" t="s">
        <v>13</v>
      </c>
      <c r="B10" s="8" t="n">
        <v>41.2</v>
      </c>
      <c r="C10" s="7" t="s">
        <v>14</v>
      </c>
      <c r="D10" s="7"/>
    </row>
    <row r="12" customFormat="false" ht="15" hidden="false" customHeight="false" outlineLevel="0" collapsed="false">
      <c r="A12" s="3" t="s">
        <v>15</v>
      </c>
      <c r="B12" s="9" t="s">
        <v>16</v>
      </c>
      <c r="C12" s="9" t="s">
        <v>17</v>
      </c>
      <c r="D12" s="9" t="s">
        <v>18</v>
      </c>
    </row>
    <row r="13" customFormat="false" ht="15" hidden="false" customHeight="false" outlineLevel="0" collapsed="false">
      <c r="A13" s="10" t="s">
        <v>19</v>
      </c>
      <c r="B13" s="11" t="n">
        <v>4800</v>
      </c>
      <c r="C13" s="11" t="n">
        <v>4800</v>
      </c>
      <c r="D13" s="11" t="n">
        <v>4800</v>
      </c>
      <c r="F13" s="12" t="s">
        <v>20</v>
      </c>
    </row>
    <row r="14" customFormat="false" ht="15" hidden="false" customHeight="false" outlineLevel="0" collapsed="false">
      <c r="A14" s="10" t="s">
        <v>21</v>
      </c>
      <c r="B14" s="13" t="n">
        <v>0.06</v>
      </c>
      <c r="C14" s="13" t="n">
        <v>0.12</v>
      </c>
      <c r="D14" s="13" t="n">
        <v>0.18</v>
      </c>
    </row>
    <row r="15" customFormat="false" ht="15" hidden="false" customHeight="false" outlineLevel="0" collapsed="false">
      <c r="A15" s="10" t="s">
        <v>22</v>
      </c>
      <c r="B15" s="13" t="n">
        <v>0.05</v>
      </c>
      <c r="C15" s="13" t="n">
        <v>0.105</v>
      </c>
      <c r="D15" s="13" t="n">
        <v>0.16</v>
      </c>
    </row>
    <row r="16" customFormat="false" ht="15" hidden="false" customHeight="false" outlineLevel="0" collapsed="false">
      <c r="A16" s="10" t="s">
        <v>23</v>
      </c>
      <c r="B16" s="13" t="n">
        <v>0.045</v>
      </c>
      <c r="C16" s="13" t="n">
        <v>0.09</v>
      </c>
      <c r="D16" s="13" t="n">
        <v>0.14</v>
      </c>
    </row>
    <row r="17" customFormat="false" ht="15" hidden="false" customHeight="false" outlineLevel="0" collapsed="false">
      <c r="A17" s="10" t="s">
        <v>24</v>
      </c>
      <c r="B17" s="13" t="n">
        <v>0.04</v>
      </c>
      <c r="C17" s="13" t="n">
        <v>0.08</v>
      </c>
      <c r="D17" s="13" t="n">
        <v>0.12</v>
      </c>
    </row>
    <row r="18" customFormat="false" ht="15" hidden="false" customHeight="false" outlineLevel="0" collapsed="false">
      <c r="A18" s="10" t="s">
        <v>25</v>
      </c>
      <c r="B18" s="13" t="n">
        <v>0.035</v>
      </c>
      <c r="C18" s="13" t="n">
        <v>0.07</v>
      </c>
      <c r="D18" s="13" t="n">
        <v>0.1</v>
      </c>
    </row>
    <row r="19" customFormat="false" ht="15" hidden="false" customHeight="false" outlineLevel="0" collapsed="false">
      <c r="A19" s="10" t="s">
        <v>26</v>
      </c>
      <c r="B19" s="14" t="n">
        <v>0.035</v>
      </c>
      <c r="C19" s="14" t="n">
        <v>0.05</v>
      </c>
      <c r="D19" s="14" t="n">
        <v>0.065</v>
      </c>
      <c r="F19" s="12" t="s">
        <v>27</v>
      </c>
    </row>
    <row r="20" customFormat="false" ht="15" hidden="false" customHeight="false" outlineLevel="0" collapsed="false">
      <c r="A20" s="10" t="s">
        <v>28</v>
      </c>
      <c r="B20" s="14" t="n">
        <v>0.131</v>
      </c>
      <c r="C20" s="14" t="n">
        <v>0.131</v>
      </c>
      <c r="D20" s="14" t="n">
        <v>0.131</v>
      </c>
      <c r="F20" s="12" t="s">
        <v>29</v>
      </c>
    </row>
    <row r="21" customFormat="false" ht="15" hidden="false" customHeight="false" outlineLevel="0" collapsed="false">
      <c r="A21" s="10" t="s">
        <v>30</v>
      </c>
      <c r="B21" s="15" t="n">
        <v>0.8</v>
      </c>
      <c r="C21" s="15" t="n">
        <v>0.72</v>
      </c>
      <c r="D21" s="15" t="n">
        <v>0.65</v>
      </c>
    </row>
    <row r="22" customFormat="false" ht="15" hidden="false" customHeight="false" outlineLevel="0" collapsed="false">
      <c r="A22" s="10" t="s">
        <v>31</v>
      </c>
      <c r="B22" s="14" t="n">
        <v>0.045</v>
      </c>
      <c r="C22" s="14" t="n">
        <v>0.045</v>
      </c>
      <c r="D22" s="14" t="n">
        <v>0.045</v>
      </c>
    </row>
    <row r="23" customFormat="false" ht="15" hidden="false" customHeight="false" outlineLevel="0" collapsed="false">
      <c r="A23" s="10" t="s">
        <v>32</v>
      </c>
      <c r="B23" s="14" t="n">
        <v>0.01</v>
      </c>
      <c r="C23" s="14" t="n">
        <v>0</v>
      </c>
      <c r="D23" s="14" t="n">
        <v>0</v>
      </c>
      <c r="F23" s="12" t="s">
        <v>33</v>
      </c>
    </row>
    <row r="24" customFormat="false" ht="15" hidden="false" customHeight="false" outlineLevel="0" collapsed="false">
      <c r="A24" s="10" t="s">
        <v>34</v>
      </c>
      <c r="B24" s="14" t="n">
        <v>0.015</v>
      </c>
      <c r="C24" s="14" t="n">
        <v>0.015</v>
      </c>
      <c r="D24" s="14" t="n">
        <v>0.015</v>
      </c>
    </row>
    <row r="25" customFormat="false" ht="15" hidden="false" customHeight="false" outlineLevel="0" collapsed="false">
      <c r="A25" s="10" t="s">
        <v>35</v>
      </c>
      <c r="B25" s="13" t="n">
        <v>0.05</v>
      </c>
      <c r="C25" s="13" t="n">
        <v>0.05</v>
      </c>
      <c r="D25" s="13" t="n">
        <v>0.05</v>
      </c>
    </row>
    <row r="26" customFormat="false" ht="15" hidden="false" customHeight="false" outlineLevel="0" collapsed="false">
      <c r="A26" s="10" t="s">
        <v>36</v>
      </c>
      <c r="B26" s="13" t="n">
        <v>0.2</v>
      </c>
      <c r="C26" s="13" t="n">
        <v>0.2</v>
      </c>
      <c r="D26" s="13" t="n">
        <v>0.2</v>
      </c>
    </row>
    <row r="28" customFormat="false" ht="15" hidden="false" customHeight="false" outlineLevel="0" collapsed="false">
      <c r="A28" s="3" t="s">
        <v>37</v>
      </c>
      <c r="B28" s="3"/>
      <c r="C28" s="3"/>
      <c r="D28" s="3"/>
    </row>
    <row r="29" customFormat="false" ht="15" hidden="false" customHeight="false" outlineLevel="0" collapsed="false">
      <c r="A29" s="10" t="s">
        <v>38</v>
      </c>
      <c r="B29" s="16" t="n">
        <f aca="false">B20+B21*B22+B23</f>
        <v>0.177</v>
      </c>
      <c r="C29" s="16" t="n">
        <f aca="false">C20+C21*C22+C23</f>
        <v>0.1634</v>
      </c>
      <c r="D29" s="16" t="n">
        <f aca="false">D20+D21*D22+D23</f>
        <v>0.16025</v>
      </c>
    </row>
    <row r="30" customFormat="false" ht="15" hidden="false" customHeight="false" outlineLevel="0" collapsed="false">
      <c r="A30" s="10" t="s">
        <v>39</v>
      </c>
      <c r="B30" s="16" t="n">
        <f aca="false">(B20+B24)*(1-B26)</f>
        <v>0.1168</v>
      </c>
      <c r="C30" s="16" t="n">
        <f aca="false">(C20+C24)*(1-C26)</f>
        <v>0.1168</v>
      </c>
      <c r="D30" s="16" t="n">
        <f aca="false">(D20+D24)*(1-D26)</f>
        <v>0.1168</v>
      </c>
    </row>
    <row r="31" customFormat="false" ht="15" hidden="false" customHeight="false" outlineLevel="0" collapsed="false">
      <c r="A31" s="17" t="s">
        <v>40</v>
      </c>
      <c r="B31" s="18" t="n">
        <f aca="false">B29*(1-B25)+B30*B25</f>
        <v>0.17399</v>
      </c>
      <c r="C31" s="18" t="n">
        <f aca="false">C29*(1-C25)+C30*C25</f>
        <v>0.16107</v>
      </c>
      <c r="D31" s="18" t="n">
        <f aca="false">D29*(1-D25)+D30*D25</f>
        <v>0.1580775</v>
      </c>
    </row>
    <row r="33" customFormat="false" ht="15" hidden="false" customHeight="false" outlineLevel="0" collapsed="false">
      <c r="A33" s="3" t="s">
        <v>41</v>
      </c>
      <c r="B33" s="3"/>
      <c r="C33" s="3"/>
      <c r="D33" s="3"/>
    </row>
    <row r="34" customFormat="false" ht="15" hidden="false" customHeight="false" outlineLevel="0" collapsed="false">
      <c r="A34" s="10" t="s">
        <v>42</v>
      </c>
      <c r="B34" s="19" t="n">
        <f aca="false">B13*(1+B14)</f>
        <v>5088</v>
      </c>
      <c r="C34" s="19" t="n">
        <f aca="false">C13*(1+C14)</f>
        <v>5376</v>
      </c>
      <c r="D34" s="19" t="n">
        <f aca="false">D13*(1+D14)</f>
        <v>5664</v>
      </c>
    </row>
    <row r="35" customFormat="false" ht="15" hidden="false" customHeight="false" outlineLevel="0" collapsed="false">
      <c r="A35" s="10" t="s">
        <v>43</v>
      </c>
      <c r="B35" s="19" t="n">
        <f aca="false">B34*(1+B15)</f>
        <v>5342.4</v>
      </c>
      <c r="C35" s="19" t="n">
        <f aca="false">C34*(1+C15)</f>
        <v>5940.48</v>
      </c>
      <c r="D35" s="19" t="n">
        <f aca="false">D34*(1+D15)</f>
        <v>6570.24</v>
      </c>
    </row>
    <row r="36" customFormat="false" ht="15" hidden="false" customHeight="false" outlineLevel="0" collapsed="false">
      <c r="A36" s="10" t="s">
        <v>44</v>
      </c>
      <c r="B36" s="19" t="n">
        <f aca="false">B35*(1+B16)</f>
        <v>5582.808</v>
      </c>
      <c r="C36" s="19" t="n">
        <f aca="false">C35*(1+C16)</f>
        <v>6475.1232</v>
      </c>
      <c r="D36" s="19" t="n">
        <f aca="false">D35*(1+D16)</f>
        <v>7490.0736</v>
      </c>
    </row>
    <row r="37" customFormat="false" ht="15" hidden="false" customHeight="false" outlineLevel="0" collapsed="false">
      <c r="A37" s="10" t="s">
        <v>45</v>
      </c>
      <c r="B37" s="19" t="n">
        <f aca="false">B36*(1+B17)</f>
        <v>5806.12032</v>
      </c>
      <c r="C37" s="19" t="n">
        <f aca="false">C36*(1+C17)</f>
        <v>6993.133056</v>
      </c>
      <c r="D37" s="19" t="n">
        <f aca="false">D36*(1+D17)</f>
        <v>8388.882432</v>
      </c>
    </row>
    <row r="38" customFormat="false" ht="15" hidden="false" customHeight="false" outlineLevel="0" collapsed="false">
      <c r="A38" s="10" t="s">
        <v>46</v>
      </c>
      <c r="B38" s="19" t="n">
        <f aca="false">B37*(1+B18)</f>
        <v>6009.3345312</v>
      </c>
      <c r="C38" s="19" t="n">
        <f aca="false">C37*(1+C18)</f>
        <v>7482.65236992</v>
      </c>
      <c r="D38" s="19" t="n">
        <f aca="false">D37*(1+D18)</f>
        <v>9227.7706752</v>
      </c>
    </row>
    <row r="40" customFormat="false" ht="15" hidden="false" customHeight="false" outlineLevel="0" collapsed="false">
      <c r="A40" s="3" t="s">
        <v>47</v>
      </c>
      <c r="B40" s="3"/>
      <c r="C40" s="3"/>
      <c r="D40" s="3"/>
    </row>
    <row r="41" customFormat="false" ht="15" hidden="false" customHeight="false" outlineLevel="0" collapsed="false">
      <c r="A41" s="10" t="s">
        <v>48</v>
      </c>
      <c r="B41" s="19" t="n">
        <f aca="false">B34/(1+B$31)^1</f>
        <v>4333.93810850178</v>
      </c>
      <c r="C41" s="19" t="n">
        <f aca="false">C34/(1+C$31)^1</f>
        <v>4630.211787403</v>
      </c>
      <c r="D41" s="19" t="n">
        <f aca="false">D34/(1+D$31)^1</f>
        <v>4890.86438515557</v>
      </c>
    </row>
    <row r="42" customFormat="false" ht="15" hidden="false" customHeight="false" outlineLevel="0" collapsed="false">
      <c r="A42" s="10" t="s">
        <v>49</v>
      </c>
      <c r="B42" s="19" t="n">
        <f aca="false">B35/(1+B$31)^2</f>
        <v>3876.21275643478</v>
      </c>
      <c r="C42" s="19" t="n">
        <f aca="false">C35/(1+C$31)^2</f>
        <v>4406.6111647707</v>
      </c>
      <c r="D42" s="19" t="n">
        <f aca="false">D35/(1+D$31)^2</f>
        <v>4898.98360582989</v>
      </c>
    </row>
    <row r="43" customFormat="false" ht="15" hidden="false" customHeight="false" outlineLevel="0" collapsed="false">
      <c r="A43" s="10" t="s">
        <v>50</v>
      </c>
      <c r="B43" s="19" t="n">
        <f aca="false">B36/(1+B$31)^3</f>
        <v>3450.3209826952</v>
      </c>
      <c r="C43" s="19" t="n">
        <f aca="false">C36/(1+C$31)^3</f>
        <v>4136.87905948828</v>
      </c>
      <c r="D43" s="19" t="n">
        <f aca="false">D36/(1+D$31)^3</f>
        <v>4822.51085151561</v>
      </c>
    </row>
    <row r="44" customFormat="false" ht="15" hidden="false" customHeight="false" outlineLevel="0" collapsed="false">
      <c r="A44" s="10" t="s">
        <v>51</v>
      </c>
      <c r="B44" s="19" t="n">
        <f aca="false">B37/(1+B$31)^4</f>
        <v>3056.52843891601</v>
      </c>
      <c r="C44" s="19" t="n">
        <f aca="false">C37/(1+C$31)^4</f>
        <v>3848.02758166807</v>
      </c>
      <c r="D44" s="19" t="n">
        <f aca="false">D37/(1+D$31)^4</f>
        <v>4663.94706200361</v>
      </c>
    </row>
    <row r="45" customFormat="false" ht="15" hidden="false" customHeight="false" outlineLevel="0" collapsed="false">
      <c r="A45" s="10" t="s">
        <v>52</v>
      </c>
      <c r="B45" s="19" t="n">
        <f aca="false">B38/(1+B$31)^5</f>
        <v>2694.66259020782</v>
      </c>
      <c r="C45" s="19" t="n">
        <f aca="false">C38/(1+C$31)^5</f>
        <v>3546.2026513344</v>
      </c>
      <c r="D45" s="19" t="n">
        <f aca="false">D38/(1+D$31)^5</f>
        <v>4430.0504657106</v>
      </c>
    </row>
    <row r="46" customFormat="false" ht="15" hidden="false" customHeight="false" outlineLevel="0" collapsed="false">
      <c r="A46" s="10" t="s">
        <v>53</v>
      </c>
      <c r="B46" s="19" t="n">
        <f aca="false">SUM(B41:B45)</f>
        <v>17411.6628767556</v>
      </c>
      <c r="C46" s="19" t="n">
        <f aca="false">SUM(C41:C45)</f>
        <v>20567.9322446645</v>
      </c>
      <c r="D46" s="19" t="n">
        <f aca="false">SUM(D41:D45)</f>
        <v>23706.3563702153</v>
      </c>
    </row>
    <row r="47" customFormat="false" ht="15" hidden="false" customHeight="false" outlineLevel="0" collapsed="false">
      <c r="A47" s="10" t="s">
        <v>54</v>
      </c>
      <c r="B47" s="19" t="n">
        <f aca="false">IF(B31&lt;=B19,"n/a",B38*(1+B19)/(B31-B19))</f>
        <v>44748.9836663933</v>
      </c>
      <c r="C47" s="19" t="n">
        <f aca="false">IF(C31&lt;=C19,"n/a",C38*(1+C19)/(C31-C19))</f>
        <v>70737.2376736833</v>
      </c>
      <c r="D47" s="19" t="n">
        <f aca="false">IF(D31&lt;=D19,"n/a",D38*(1+D19)/(D31-D19))</f>
        <v>105584.870340179</v>
      </c>
    </row>
    <row r="48" customFormat="false" ht="15" hidden="false" customHeight="false" outlineLevel="0" collapsed="false">
      <c r="A48" s="10" t="s">
        <v>55</v>
      </c>
      <c r="B48" s="19" t="n">
        <f aca="false">IF(ISNUMBER(B47),B47/(1+B31)^5,"n/a")</f>
        <v>20066.0175614439</v>
      </c>
      <c r="C48" s="19" t="n">
        <f aca="false">IF(ISNUMBER(C47),C47/(1+C31)^5,"n/a")</f>
        <v>33524.0189421187</v>
      </c>
      <c r="D48" s="19" t="n">
        <f aca="false">IF(ISNUMBER(D47),D47/(1+D31)^5,"n/a")</f>
        <v>50688.9822565259</v>
      </c>
    </row>
    <row r="49" customFormat="false" ht="15" hidden="false" customHeight="false" outlineLevel="0" collapsed="false">
      <c r="A49" s="17" t="s">
        <v>56</v>
      </c>
      <c r="B49" s="20" t="n">
        <f aca="false">IF(ISNUMBER(B48),B46+B48,"n/a")</f>
        <v>37477.6804381995</v>
      </c>
      <c r="C49" s="20" t="n">
        <f aca="false">IF(ISNUMBER(C48),C46+C48,"n/a")</f>
        <v>54091.9511867831</v>
      </c>
      <c r="D49" s="20" t="n">
        <f aca="false">IF(ISNUMBER(D48),D46+D48,"n/a")</f>
        <v>74395.3386267412</v>
      </c>
    </row>
    <row r="50" customFormat="false" ht="15" hidden="false" customHeight="false" outlineLevel="0" collapsed="false">
      <c r="A50" s="10" t="s">
        <v>57</v>
      </c>
      <c r="B50" s="19" t="n">
        <f aca="false">$B$8</f>
        <v>-3100</v>
      </c>
      <c r="C50" s="19" t="n">
        <f aca="false">$B$8</f>
        <v>-3100</v>
      </c>
      <c r="D50" s="19" t="n">
        <f aca="false">$B$8</f>
        <v>-3100</v>
      </c>
    </row>
    <row r="51" customFormat="false" ht="15" hidden="false" customHeight="false" outlineLevel="0" collapsed="false">
      <c r="A51" s="17" t="s">
        <v>58</v>
      </c>
      <c r="B51" s="20" t="n">
        <f aca="false">IF(ISNUMBER(B49),B49-B50,"n/a")</f>
        <v>40577.6804381995</v>
      </c>
      <c r="C51" s="20" t="n">
        <f aca="false">IF(ISNUMBER(C49),C49-C50,"n/a")</f>
        <v>57191.9511867831</v>
      </c>
      <c r="D51" s="20" t="n">
        <f aca="false">IF(ISNUMBER(D49),D49-D50,"n/a")</f>
        <v>77495.3386267412</v>
      </c>
    </row>
    <row r="52" customFormat="false" ht="15" hidden="false" customHeight="false" outlineLevel="0" collapsed="false">
      <c r="A52" s="10" t="s">
        <v>59</v>
      </c>
      <c r="B52" s="21" t="n">
        <f aca="false">IF(ISNUMBER(B49),B48/B49,"n/a")</f>
        <v>0.5354124728859</v>
      </c>
      <c r="C52" s="21" t="n">
        <f aca="false">IF(ISNUMBER(C49),C48/C49,"n/a")</f>
        <v>0.619759838693154</v>
      </c>
      <c r="D52" s="21" t="n">
        <f aca="false">IF(ISNUMBER(D49),D48/D49,"n/a")</f>
        <v>0.681346213246564</v>
      </c>
    </row>
    <row r="53" customFormat="false" ht="15" hidden="false" customHeight="false" outlineLevel="0" collapsed="false">
      <c r="A53" s="22" t="s">
        <v>60</v>
      </c>
      <c r="B53" s="23" t="n">
        <f aca="false">IF(ISNUMBER(B51),B51/$B$9,"n/a")</f>
        <v>9.67056254485212</v>
      </c>
      <c r="C53" s="23" t="n">
        <f aca="false">IF(ISNUMBER(C51),C51/$B$9,"n/a")</f>
        <v>13.6301122942763</v>
      </c>
      <c r="D53" s="23" t="n">
        <f aca="false">IF(ISNUMBER(D51),D51/$B$9,"n/a")</f>
        <v>18.4688604925503</v>
      </c>
    </row>
    <row r="54" customFormat="false" ht="15" hidden="false" customHeight="false" outlineLevel="0" collapsed="false">
      <c r="A54" s="10" t="s">
        <v>61</v>
      </c>
      <c r="B54" s="21" t="n">
        <f aca="false">IF(ISNUMBER(B53),B53/$B$10-1,"n/a")</f>
        <v>-0.765277608134657</v>
      </c>
      <c r="C54" s="21" t="n">
        <f aca="false">IF(ISNUMBER(C53),C53/$B$10-1,"n/a")</f>
        <v>-0.669172031692324</v>
      </c>
      <c r="D54" s="21" t="n">
        <f aca="false">IF(ISNUMBER(D53),D53/$B$10-1,"n/a")</f>
        <v>-0.551726687074021</v>
      </c>
    </row>
    <row r="56" customFormat="false" ht="15" hidden="false" customHeight="false" outlineLevel="0" collapsed="false">
      <c r="A56" s="24" t="s">
        <v>62</v>
      </c>
      <c r="B56" s="24"/>
      <c r="C56" s="24"/>
      <c r="D56" s="24"/>
    </row>
  </sheetData>
  <mergeCells count="6">
    <mergeCell ref="C6:D6"/>
    <mergeCell ref="C7:D7"/>
    <mergeCell ref="C8:D8"/>
    <mergeCell ref="C9:D9"/>
    <mergeCell ref="C10:D10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15" hidden="false" customHeight="false" outlineLevel="0" collapsed="false">
      <c r="A1" s="25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26" t="s">
        <v>65</v>
      </c>
      <c r="B4" s="27" t="n">
        <v>0.03</v>
      </c>
      <c r="C4" s="27" t="n">
        <v>0.04</v>
      </c>
      <c r="D4" s="27" t="n">
        <v>0.05</v>
      </c>
      <c r="E4" s="27" t="n">
        <v>0.06</v>
      </c>
      <c r="F4" s="27" t="n">
        <v>0.07</v>
      </c>
    </row>
    <row r="5" customFormat="false" ht="15" hidden="false" customHeight="false" outlineLevel="0" collapsed="false">
      <c r="A5" s="28" t="n">
        <v>0.13</v>
      </c>
      <c r="B5" s="29" t="n">
        <f aca="false">IF($A5&lt;=B$4,"n/a",(DCF!$C$34/(1+$A5)^1+DCF!$C$35/(1+$A5)^2+DCF!$C$36/(1+$A5)^3+DCF!$C$37/(1+$A5)^4+DCF!$C$38/(1+$A5)^5+DCF!$C$38*(1+B$4)/($A5-B$4)/(1+$A5)^5-DCF!$B$8)/DCF!$B$9)</f>
        <v>16.0102245706227</v>
      </c>
      <c r="C5" s="29" t="n">
        <f aca="false">IF($A5&lt;=C$4,"n/a",(DCF!$C$34/(1+$A5)^1+DCF!$C$35/(1+$A5)^2+DCF!$C$36/(1+$A5)^3+DCF!$C$37/(1+$A5)^4+DCF!$C$38/(1+$A5)^5+DCF!$C$38*(1+C$4)/($A5-C$4)/(1+$A5)^5-DCF!$B$8)/DCF!$B$9)</f>
        <v>17.2254694681935</v>
      </c>
      <c r="D5" s="29" t="n">
        <f aca="false">IF($A5&lt;=D$4,"n/a",(DCF!$C$34/(1+$A5)^1+DCF!$C$35/(1+$A5)^2+DCF!$C$36/(1+$A5)^3+DCF!$C$37/(1+$A5)^4+DCF!$C$38/(1+$A5)^5+DCF!$C$38*(1+D$4)/($A5-D$4)/(1+$A5)^5-DCF!$B$8)/DCF!$B$9)</f>
        <v>18.744525590157</v>
      </c>
      <c r="E5" s="29" t="n">
        <f aca="false">IF($A5&lt;=E$4,"n/a",(DCF!$C$34/(1+$A5)^1+DCF!$C$35/(1+$A5)^2+DCF!$C$36/(1+$A5)^3+DCF!$C$37/(1+$A5)^4+DCF!$C$38/(1+$A5)^5+DCF!$C$38*(1+E$4)/($A5-E$4)/(1+$A5)^5-DCF!$B$8)/DCF!$B$9)</f>
        <v>20.6975977469673</v>
      </c>
      <c r="F5" s="29" t="n">
        <f aca="false">IF($A5&lt;=F$4,"n/a",(DCF!$C$34/(1+$A5)^1+DCF!$C$35/(1+$A5)^2+DCF!$C$36/(1+$A5)^3+DCF!$C$37/(1+$A5)^4+DCF!$C$38/(1+$A5)^5+DCF!$C$38*(1+F$4)/($A5-F$4)/(1+$A5)^5-DCF!$B$8)/DCF!$B$9)</f>
        <v>23.3016939560476</v>
      </c>
    </row>
    <row r="6" customFormat="false" ht="15" hidden="false" customHeight="false" outlineLevel="0" collapsed="false">
      <c r="A6" s="28" t="n">
        <v>0.14</v>
      </c>
      <c r="B6" s="29" t="n">
        <f aca="false">IF($A6&lt;=B$4,"n/a",(DCF!$C$34/(1+$A6)^1+DCF!$C$35/(1+$A6)^2+DCF!$C$36/(1+$A6)^3+DCF!$C$37/(1+$A6)^4+DCF!$C$38/(1+$A6)^5+DCF!$C$38*(1+B$4)/($A6-B$4)/(1+$A6)^5-DCF!$B$8)/DCF!$B$9)</f>
        <v>14.5790160128959</v>
      </c>
      <c r="C6" s="29" t="n">
        <f aca="false">IF($A6&lt;=C$4,"n/a",(DCF!$C$34/(1+$A6)^1+DCF!$C$35/(1+$A6)^2+DCF!$C$36/(1+$A6)^3+DCF!$C$37/(1+$A6)^4+DCF!$C$38/(1+$A6)^5+DCF!$C$38*(1+C$4)/($A6-C$4)/(1+$A6)^5-DCF!$B$8)/DCF!$B$9)</f>
        <v>15.5388762457252</v>
      </c>
      <c r="D6" s="29" t="n">
        <f aca="false">IF($A6&lt;=D$4,"n/a",(DCF!$C$34/(1+$A6)^1+DCF!$C$35/(1+$A6)^2+DCF!$C$36/(1+$A6)^3+DCF!$C$37/(1+$A6)^4+DCF!$C$38/(1+$A6)^5+DCF!$C$38*(1+D$4)/($A6-D$4)/(1+$A6)^5-DCF!$B$8)/DCF!$B$9)</f>
        <v>16.7120387525165</v>
      </c>
      <c r="E6" s="29" t="n">
        <f aca="false">IF($A6&lt;=E$4,"n/a",(DCF!$C$34/(1+$A6)^1+DCF!$C$35/(1+$A6)^2+DCF!$C$36/(1+$A6)^3+DCF!$C$37/(1+$A6)^4+DCF!$C$38/(1+$A6)^5+DCF!$C$38*(1+E$4)/($A6-E$4)/(1+$A6)^5-DCF!$B$8)/DCF!$B$9)</f>
        <v>18.1784918860058</v>
      </c>
      <c r="F6" s="29" t="n">
        <f aca="false">IF($A6&lt;=F$4,"n/a",(DCF!$C$34/(1+$A6)^1+DCF!$C$35/(1+$A6)^2+DCF!$C$36/(1+$A6)^3+DCF!$C$37/(1+$A6)^4+DCF!$C$38/(1+$A6)^5+DCF!$C$38*(1+F$4)/($A6-F$4)/(1+$A6)^5-DCF!$B$8)/DCF!$B$9)</f>
        <v>20.0639316290633</v>
      </c>
    </row>
    <row r="7" customFormat="false" ht="15" hidden="false" customHeight="false" outlineLevel="0" collapsed="false">
      <c r="A7" s="28" t="n">
        <v>0.15</v>
      </c>
      <c r="B7" s="29" t="n">
        <f aca="false">IF($A7&lt;=B$4,"n/a",(DCF!$C$34/(1+$A7)^1+DCF!$C$35/(1+$A7)^2+DCF!$C$36/(1+$A7)^3+DCF!$C$37/(1+$A7)^4+DCF!$C$38/(1+$A7)^5+DCF!$C$38*(1+B$4)/($A7-B$4)/(1+$A7)^5-DCF!$B$8)/DCF!$B$9)</f>
        <v>13.3876089669318</v>
      </c>
      <c r="C7" s="29" t="n">
        <f aca="false">IF($A7&lt;=C$4,"n/a",(DCF!$C$34/(1+$A7)^1+DCF!$C$35/(1+$A7)^2+DCF!$C$36/(1+$A7)^3+DCF!$C$37/(1+$A7)^4+DCF!$C$38/(1+$A7)^5+DCF!$C$38*(1+C$4)/($A7-C$4)/(1+$A7)^5-DCF!$B$8)/DCF!$B$9)</f>
        <v>14.1600312555014</v>
      </c>
      <c r="D7" s="29" t="n">
        <f aca="false">IF($A7&lt;=D$4,"n/a",(DCF!$C$34/(1+$A7)^1+DCF!$C$35/(1+$A7)^2+DCF!$C$36/(1+$A7)^3+DCF!$C$37/(1+$A7)^4+DCF!$C$38/(1+$A7)^5+DCF!$C$38*(1+D$4)/($A7-D$4)/(1+$A7)^5-DCF!$B$8)/DCF!$B$9)</f>
        <v>15.0869380017849</v>
      </c>
      <c r="E7" s="29" t="n">
        <f aca="false">IF($A7&lt;=E$4,"n/a",(DCF!$C$34/(1+$A7)^1+DCF!$C$35/(1+$A7)^2+DCF!$C$36/(1+$A7)^3+DCF!$C$37/(1+$A7)^4+DCF!$C$38/(1+$A7)^5+DCF!$C$38*(1+E$4)/($A7-E$4)/(1+$A7)^5-DCF!$B$8)/DCF!$B$9)</f>
        <v>16.2198240250203</v>
      </c>
      <c r="F7" s="29" t="n">
        <f aca="false">IF($A7&lt;=F$4,"n/a",(DCF!$C$34/(1+$A7)^1+DCF!$C$35/(1+$A7)^2+DCF!$C$36/(1+$A7)^3+DCF!$C$37/(1+$A7)^4+DCF!$C$38/(1+$A7)^5+DCF!$C$38*(1+F$4)/($A7-F$4)/(1+$A7)^5-DCF!$B$8)/DCF!$B$9)</f>
        <v>17.6359315540645</v>
      </c>
    </row>
    <row r="8" customFormat="false" ht="15" hidden="false" customHeight="false" outlineLevel="0" collapsed="false">
      <c r="A8" s="28" t="n">
        <v>0.16</v>
      </c>
      <c r="B8" s="29" t="n">
        <f aca="false">IF($A8&lt;=B$4,"n/a",(DCF!$C$34/(1+$A8)^1+DCF!$C$35/(1+$A8)^2+DCF!$C$36/(1+$A8)^3+DCF!$C$37/(1+$A8)^4+DCF!$C$38/(1+$A8)^5+DCF!$C$38*(1+B$4)/($A8-B$4)/(1+$A8)^5-DCF!$B$8)/DCF!$B$9)</f>
        <v>12.3806143975938</v>
      </c>
      <c r="C8" s="29" t="n">
        <f aca="false">IF($A8&lt;=C$4,"n/a",(DCF!$C$34/(1+$A8)^1+DCF!$C$35/(1+$A8)^2+DCF!$C$36/(1+$A8)^3+DCF!$C$37/(1+$A8)^4+DCF!$C$38/(1+$A8)^5+DCF!$C$38*(1+C$4)/($A8-C$4)/(1+$A8)^5-DCF!$B$8)/DCF!$B$9)</f>
        <v>13.0119547297234</v>
      </c>
      <c r="D8" s="29" t="n">
        <f aca="false">IF($A8&lt;=D$4,"n/a",(DCF!$C$34/(1+$A8)^1+DCF!$C$35/(1+$A8)^2+DCF!$C$36/(1+$A8)^3+DCF!$C$37/(1+$A8)^4+DCF!$C$38/(1+$A8)^5+DCF!$C$38*(1+D$4)/($A8-D$4)/(1+$A8)^5-DCF!$B$8)/DCF!$B$9)</f>
        <v>13.7580842131494</v>
      </c>
      <c r="E8" s="29" t="n">
        <f aca="false">IF($A8&lt;=E$4,"n/a",(DCF!$C$34/(1+$A8)^1+DCF!$C$35/(1+$A8)^2+DCF!$C$36/(1+$A8)^3+DCF!$C$37/(1+$A8)^4+DCF!$C$38/(1+$A8)^5+DCF!$C$38*(1+E$4)/($A8-E$4)/(1+$A8)^5-DCF!$B$8)/DCF!$B$9)</f>
        <v>14.6534395932606</v>
      </c>
      <c r="F8" s="29" t="n">
        <f aca="false">IF($A8&lt;=F$4,"n/a",(DCF!$C$34/(1+$A8)^1+DCF!$C$35/(1+$A8)^2+DCF!$C$36/(1+$A8)^3+DCF!$C$37/(1+$A8)^4+DCF!$C$38/(1+$A8)^5+DCF!$C$38*(1+F$4)/($A8-F$4)/(1+$A8)^5-DCF!$B$8)/DCF!$B$9)</f>
        <v>15.7477628356186</v>
      </c>
    </row>
    <row r="9" customFormat="false" ht="15" hidden="false" customHeight="false" outlineLevel="0" collapsed="false">
      <c r="A9" s="28" t="n">
        <v>0.17</v>
      </c>
      <c r="B9" s="29" t="n">
        <f aca="false">IF($A9&lt;=B$4,"n/a",(DCF!$C$34/(1+$A9)^1+DCF!$C$35/(1+$A9)^2+DCF!$C$36/(1+$A9)^3+DCF!$C$37/(1+$A9)^4+DCF!$C$38/(1+$A9)^5+DCF!$C$38*(1+B$4)/($A9-B$4)/(1+$A9)^5-DCF!$B$8)/DCF!$B$9)</f>
        <v>11.5184711603987</v>
      </c>
      <c r="C9" s="29" t="n">
        <f aca="false">IF($A9&lt;=C$4,"n/a",(DCF!$C$34/(1+$A9)^1+DCF!$C$35/(1+$A9)^2+DCF!$C$36/(1+$A9)^3+DCF!$C$37/(1+$A9)^4+DCF!$C$38/(1+$A9)^5+DCF!$C$38*(1+C$4)/($A9-C$4)/(1+$A9)^5-DCF!$B$8)/DCF!$B$9)</f>
        <v>12.041355042238</v>
      </c>
      <c r="D9" s="29" t="n">
        <f aca="false">IF($A9&lt;=D$4,"n/a",(DCF!$C$34/(1+$A9)^1+DCF!$C$35/(1+$A9)^2+DCF!$C$36/(1+$A9)^3+DCF!$C$37/(1+$A9)^4+DCF!$C$38/(1+$A9)^5+DCF!$C$38*(1+D$4)/($A9-D$4)/(1+$A9)^5-DCF!$B$8)/DCF!$B$9)</f>
        <v>12.6513862377172</v>
      </c>
      <c r="E9" s="29" t="n">
        <f aca="false">IF($A9&lt;=E$4,"n/a",(DCF!$C$34/(1+$A9)^1+DCF!$C$35/(1+$A9)^2+DCF!$C$36/(1+$A9)^3+DCF!$C$37/(1+$A9)^4+DCF!$C$38/(1+$A9)^5+DCF!$C$38*(1+E$4)/($A9-E$4)/(1+$A9)^5-DCF!$B$8)/DCF!$B$9)</f>
        <v>13.3723321960107</v>
      </c>
      <c r="F9" s="29" t="n">
        <f aca="false">IF($A9&lt;=F$4,"n/a",(DCF!$C$34/(1+$A9)^1+DCF!$C$35/(1+$A9)^2+DCF!$C$36/(1+$A9)^3+DCF!$C$37/(1+$A9)^4+DCF!$C$38/(1+$A9)^5+DCF!$C$38*(1+F$4)/($A9-F$4)/(1+$A9)^5-DCF!$B$8)/DCF!$B$9)</f>
        <v>14.237467345963</v>
      </c>
    </row>
    <row r="10" customFormat="false" ht="15" hidden="false" customHeight="false" outlineLevel="0" collapsed="false">
      <c r="A10" s="28" t="n">
        <v>0.18</v>
      </c>
      <c r="B10" s="29" t="n">
        <f aca="false">IF($A10&lt;=B$4,"n/a",(DCF!$C$34/(1+$A10)^1+DCF!$C$35/(1+$A10)^2+DCF!$C$36/(1+$A10)^3+DCF!$C$37/(1+$A10)^4+DCF!$C$38/(1+$A10)^5+DCF!$C$38*(1+B$4)/($A10-B$4)/(1+$A10)^5-DCF!$B$8)/DCF!$B$9)</f>
        <v>10.7721698971062</v>
      </c>
      <c r="C10" s="29" t="n">
        <f aca="false">IF($A10&lt;=C$4,"n/a",(DCF!$C$34/(1+$A10)^1+DCF!$C$35/(1+$A10)^2+DCF!$C$36/(1+$A10)^3+DCF!$C$37/(1+$A10)^4+DCF!$C$38/(1+$A10)^5+DCF!$C$38*(1+C$4)/($A10-C$4)/(1+$A10)^5-DCF!$B$8)/DCF!$B$9)</f>
        <v>11.2101685408297</v>
      </c>
      <c r="D10" s="29" t="n">
        <f aca="false">IF($A10&lt;=D$4,"n/a",(DCF!$C$34/(1+$A10)^1+DCF!$C$35/(1+$A10)^2+DCF!$C$36/(1+$A10)^3+DCF!$C$37/(1+$A10)^4+DCF!$C$38/(1+$A10)^5+DCF!$C$38*(1+D$4)/($A10-D$4)/(1+$A10)^5-DCF!$B$8)/DCF!$B$9)</f>
        <v>11.7155515912799</v>
      </c>
      <c r="E10" s="29" t="n">
        <f aca="false">IF($A10&lt;=E$4,"n/a",(DCF!$C$34/(1+$A10)^1+DCF!$C$35/(1+$A10)^2+DCF!$C$36/(1+$A10)^3+DCF!$C$37/(1+$A10)^4+DCF!$C$38/(1+$A10)^5+DCF!$C$38*(1+E$4)/($A10-E$4)/(1+$A10)^5-DCF!$B$8)/DCF!$B$9)</f>
        <v>12.3051651501384</v>
      </c>
      <c r="F10" s="29" t="n">
        <f aca="false">IF($A10&lt;=F$4,"n/a",(DCF!$C$34/(1+$A10)^1+DCF!$C$35/(1+$A10)^2+DCF!$C$36/(1+$A10)^3+DCF!$C$37/(1+$A10)^4+DCF!$C$38/(1+$A10)^5+DCF!$C$38*(1+F$4)/($A10-F$4)/(1+$A10)^5-DCF!$B$8)/DCF!$B$9)</f>
        <v>13.001981174244</v>
      </c>
    </row>
    <row r="11" customFormat="false" ht="15" hidden="false" customHeight="false" outlineLevel="0" collapsed="false">
      <c r="A11" s="28" t="n">
        <v>0.19</v>
      </c>
      <c r="B11" s="29" t="n">
        <f aca="false">IF($A11&lt;=B$4,"n/a",(DCF!$C$34/(1+$A11)^1+DCF!$C$35/(1+$A11)^2+DCF!$C$36/(1+$A11)^3+DCF!$C$37/(1+$A11)^4+DCF!$C$38/(1+$A11)^5+DCF!$C$38*(1+B$4)/($A11-B$4)/(1+$A11)^5-DCF!$B$8)/DCF!$B$9)</f>
        <v>10.1199554797168</v>
      </c>
      <c r="C11" s="29" t="n">
        <f aca="false">IF($A11&lt;=C$4,"n/a",(DCF!$C$34/(1+$A11)^1+DCF!$C$35/(1+$A11)^2+DCF!$C$36/(1+$A11)^3+DCF!$C$37/(1+$A11)^4+DCF!$C$38/(1+$A11)^5+DCF!$C$38*(1+C$4)/($A11-C$4)/(1+$A11)^5-DCF!$B$8)/DCF!$B$9)</f>
        <v>10.490483454229</v>
      </c>
      <c r="D11" s="29" t="n">
        <f aca="false">IF($A11&lt;=D$4,"n/a",(DCF!$C$34/(1+$A11)^1+DCF!$C$35/(1+$A11)^2+DCF!$C$36/(1+$A11)^3+DCF!$C$37/(1+$A11)^4+DCF!$C$38/(1+$A11)^5+DCF!$C$38*(1+D$4)/($A11-D$4)/(1+$A11)^5-DCF!$B$8)/DCF!$B$9)</f>
        <v>10.9139439965286</v>
      </c>
      <c r="E11" s="29" t="n">
        <f aca="false">IF($A11&lt;=E$4,"n/a",(DCF!$C$34/(1+$A11)^1+DCF!$C$35/(1+$A11)^2+DCF!$C$36/(1+$A11)^3+DCF!$C$37/(1+$A11)^4+DCF!$C$38/(1+$A11)^5+DCF!$C$38*(1+E$4)/($A11-E$4)/(1+$A11)^5-DCF!$B$8)/DCF!$B$9)</f>
        <v>11.4025523145666</v>
      </c>
      <c r="F11" s="29" t="n">
        <f aca="false">IF($A11&lt;=F$4,"n/a",(DCF!$C$34/(1+$A11)^1+DCF!$C$35/(1+$A11)^2+DCF!$C$36/(1+$A11)^3+DCF!$C$37/(1+$A11)^4+DCF!$C$38/(1+$A11)^5+DCF!$C$38*(1+F$4)/($A11-F$4)/(1+$A11)^5-DCF!$B$8)/DCF!$B$9)</f>
        <v>11.9725953522776</v>
      </c>
    </row>
    <row r="13" customFormat="false" ht="15" hidden="false" customHeight="false" outlineLevel="0" collapsed="false">
      <c r="A13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2026-08-10T16:58:58Z</dcterms:created>
  <dc:creator>openpyxl</dc:creator>
  <dc:description/>
  <dc:language>en-US</dc:language>
  <cp:lastModifiedBy/>
  <dcterms:modified xsi:type="dcterms:W3CDTF">2026-08-10T16:58:58Z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